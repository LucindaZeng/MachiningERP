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1" sheetId="129" r:id="rId1"/>
    <sheet name="CNC" sheetId="132" r:id="rId2"/>
    <sheet name="Sheet1" sheetId="131" r:id="rId3"/>
  </sheets>
  <definedNames>
    <definedName name="_xlnm.Print_Area" localSheetId="0">'1'!$A$1:$AI$7</definedName>
    <definedName name="_xlnm.Print_Area" localSheetId="1">CNC!$A$1:$AI$7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<sst xmlns="http://schemas.openxmlformats.org/spreadsheetml/2006/main" count="96" uniqueCount="50">
  <si>
    <t>东莞真兄弟精密锻造有限公司
.</t>
  </si>
  <si>
    <r>
      <rPr>
        <b/>
        <sz val="18"/>
        <rFont val="Arial"/>
        <charset val="134"/>
      </rPr>
      <t xml:space="preserve">                                    </t>
    </r>
    <r>
      <rPr>
        <b/>
        <sz val="18"/>
        <rFont val="新宋体"/>
        <charset val="134"/>
      </rPr>
      <t>新</t>
    </r>
    <r>
      <rPr>
        <b/>
        <sz val="18"/>
        <rFont val="Arial"/>
        <charset val="134"/>
      </rPr>
      <t xml:space="preserve"> </t>
    </r>
    <r>
      <rPr>
        <b/>
        <sz val="18"/>
        <rFont val="新宋体"/>
        <charset val="134"/>
      </rPr>
      <t>产</t>
    </r>
    <r>
      <rPr>
        <b/>
        <sz val="18"/>
        <rFont val="Arial"/>
        <charset val="134"/>
      </rPr>
      <t xml:space="preserve"> </t>
    </r>
    <r>
      <rPr>
        <b/>
        <sz val="18"/>
        <rFont val="新宋体"/>
        <charset val="134"/>
      </rPr>
      <t>品</t>
    </r>
    <r>
      <rPr>
        <b/>
        <sz val="18"/>
        <rFont val="Arial"/>
        <charset val="134"/>
      </rPr>
      <t xml:space="preserve"> </t>
    </r>
    <r>
      <rPr>
        <b/>
        <sz val="18"/>
        <rFont val="新宋体"/>
        <charset val="134"/>
      </rPr>
      <t>成</t>
    </r>
    <r>
      <rPr>
        <b/>
        <sz val="18"/>
        <rFont val="Arial"/>
        <charset val="134"/>
      </rPr>
      <t xml:space="preserve"> </t>
    </r>
    <r>
      <rPr>
        <b/>
        <sz val="18"/>
        <rFont val="新宋体"/>
        <charset val="134"/>
      </rPr>
      <t>本</t>
    </r>
    <r>
      <rPr>
        <b/>
        <sz val="18"/>
        <rFont val="Arial"/>
        <charset val="134"/>
      </rPr>
      <t xml:space="preserve"> </t>
    </r>
    <r>
      <rPr>
        <b/>
        <sz val="18"/>
        <rFont val="新宋体"/>
        <charset val="134"/>
      </rPr>
      <t>分</t>
    </r>
    <r>
      <rPr>
        <b/>
        <sz val="18"/>
        <rFont val="Arial"/>
        <charset val="134"/>
      </rPr>
      <t xml:space="preserve"> </t>
    </r>
    <r>
      <rPr>
        <b/>
        <sz val="18"/>
        <rFont val="新宋体"/>
        <charset val="134"/>
      </rPr>
      <t>析</t>
    </r>
    <r>
      <rPr>
        <b/>
        <sz val="18"/>
        <rFont val="Arial"/>
        <charset val="134"/>
      </rPr>
      <t xml:space="preserve"> </t>
    </r>
    <r>
      <rPr>
        <b/>
        <sz val="18"/>
        <rFont val="新宋体"/>
        <charset val="134"/>
      </rPr>
      <t>表</t>
    </r>
    <r>
      <rPr>
        <b/>
        <sz val="18"/>
        <rFont val="Arial"/>
        <charset val="134"/>
      </rPr>
      <t xml:space="preserve">                      Q/PE-JQR-001:2026</t>
    </r>
  </si>
  <si>
    <r>
      <rPr>
        <b/>
        <sz val="12"/>
        <rFont val="新宋体"/>
        <charset val="134"/>
      </rPr>
      <t>客户名称：</t>
    </r>
  </si>
  <si>
    <r>
      <rPr>
        <b/>
        <sz val="12"/>
        <rFont val="仿宋_GB2312"/>
        <charset val="134"/>
      </rPr>
      <t>产品型号：</t>
    </r>
  </si>
  <si>
    <t>日期：2026/04/11</t>
  </si>
  <si>
    <r>
      <rPr>
        <b/>
        <sz val="12"/>
        <rFont val="新宋体"/>
        <charset val="134"/>
      </rPr>
      <t>序号</t>
    </r>
  </si>
  <si>
    <t>毛料</t>
  </si>
  <si>
    <r>
      <rPr>
        <b/>
        <sz val="12"/>
        <rFont val="新宋体"/>
        <charset val="134"/>
      </rPr>
      <t>名称图号</t>
    </r>
  </si>
  <si>
    <r>
      <rPr>
        <b/>
        <sz val="12"/>
        <rFont val="新宋体"/>
        <charset val="134"/>
      </rPr>
      <t>图片</t>
    </r>
  </si>
  <si>
    <t>规格型号</t>
  </si>
  <si>
    <r>
      <rPr>
        <b/>
        <sz val="12"/>
        <color indexed="8"/>
        <rFont val="新宋体"/>
        <charset val="134"/>
      </rPr>
      <t>数量</t>
    </r>
  </si>
  <si>
    <r>
      <rPr>
        <b/>
        <sz val="12"/>
        <color indexed="8"/>
        <rFont val="新宋体"/>
        <charset val="134"/>
      </rPr>
      <t>材质</t>
    </r>
  </si>
  <si>
    <t>模具费</t>
  </si>
  <si>
    <r>
      <rPr>
        <b/>
        <sz val="12"/>
        <color indexed="8"/>
        <rFont val="新宋体"/>
        <charset val="134"/>
      </rPr>
      <t>预估重量</t>
    </r>
    <r>
      <rPr>
        <b/>
        <sz val="12"/>
        <color indexed="8"/>
        <rFont val="Arial"/>
        <charset val="134"/>
      </rPr>
      <t>/KG</t>
    </r>
  </si>
  <si>
    <r>
      <rPr>
        <b/>
        <sz val="12"/>
        <color rgb="FF000000"/>
        <rFont val="宋体"/>
        <charset val="134"/>
      </rPr>
      <t>粗胚重</t>
    </r>
    <r>
      <rPr>
        <b/>
        <sz val="12"/>
        <color rgb="FF000000"/>
        <rFont val="Arial"/>
        <charset val="134"/>
      </rPr>
      <t>/KG</t>
    </r>
  </si>
  <si>
    <r>
      <rPr>
        <b/>
        <sz val="12"/>
        <color indexed="8"/>
        <rFont val="新宋体"/>
        <charset val="134"/>
      </rPr>
      <t>净重</t>
    </r>
    <r>
      <rPr>
        <b/>
        <sz val="12"/>
        <color indexed="8"/>
        <rFont val="Arial"/>
        <charset val="134"/>
      </rPr>
      <t>/KG</t>
    </r>
  </si>
  <si>
    <r>
      <rPr>
        <b/>
        <sz val="12"/>
        <color indexed="8"/>
        <rFont val="新宋体"/>
        <charset val="134"/>
      </rPr>
      <t>余料</t>
    </r>
    <r>
      <rPr>
        <b/>
        <sz val="12"/>
        <color indexed="8"/>
        <rFont val="Arial"/>
        <charset val="134"/>
      </rPr>
      <t>/KG</t>
    </r>
  </si>
  <si>
    <r>
      <rPr>
        <b/>
        <sz val="12"/>
        <color indexed="8"/>
        <rFont val="新宋体"/>
        <charset val="134"/>
      </rPr>
      <t>余料</t>
    </r>
    <r>
      <rPr>
        <b/>
        <sz val="12"/>
        <color indexed="8"/>
        <rFont val="宋体"/>
        <charset val="134"/>
      </rPr>
      <t>单价</t>
    </r>
  </si>
  <si>
    <r>
      <rPr>
        <b/>
        <sz val="12"/>
        <color indexed="8"/>
        <rFont val="新宋体"/>
        <charset val="134"/>
      </rPr>
      <t>单价</t>
    </r>
  </si>
  <si>
    <r>
      <rPr>
        <b/>
        <sz val="12"/>
        <color indexed="8"/>
        <rFont val="宋体"/>
        <charset val="134"/>
      </rPr>
      <t>材料</t>
    </r>
    <r>
      <rPr>
        <b/>
        <sz val="12"/>
        <color indexed="8"/>
        <rFont val="Arial"/>
        <charset val="134"/>
      </rPr>
      <t xml:space="preserve">
</t>
    </r>
    <r>
      <rPr>
        <b/>
        <sz val="12"/>
        <color indexed="8"/>
        <rFont val="宋体"/>
        <charset val="134"/>
      </rPr>
      <t>金额</t>
    </r>
  </si>
  <si>
    <t>锯料</t>
  </si>
  <si>
    <t>退火</t>
  </si>
  <si>
    <t>皮膜</t>
  </si>
  <si>
    <t>锻压</t>
  </si>
  <si>
    <t>T6</t>
  </si>
  <si>
    <r>
      <rPr>
        <b/>
        <sz val="12"/>
        <color indexed="8"/>
        <rFont val="宋体"/>
        <charset val="134"/>
      </rPr>
      <t>机加</t>
    </r>
    <r>
      <rPr>
        <b/>
        <sz val="12"/>
        <color indexed="8"/>
        <rFont val="Arial"/>
        <charset val="134"/>
      </rPr>
      <t xml:space="preserve">
</t>
    </r>
    <r>
      <rPr>
        <b/>
        <sz val="12"/>
        <color indexed="8"/>
        <rFont val="宋体"/>
        <charset val="134"/>
      </rPr>
      <t>方式</t>
    </r>
  </si>
  <si>
    <r>
      <rPr>
        <b/>
        <sz val="12"/>
        <color indexed="8"/>
        <rFont val="宋体"/>
        <charset val="134"/>
      </rPr>
      <t>加工</t>
    </r>
    <r>
      <rPr>
        <b/>
        <sz val="12"/>
        <color indexed="8"/>
        <rFont val="Arial"/>
        <charset val="134"/>
      </rPr>
      <t xml:space="preserve">
</t>
    </r>
    <r>
      <rPr>
        <b/>
        <sz val="12"/>
        <color indexed="8"/>
        <rFont val="宋体"/>
        <charset val="134"/>
      </rPr>
      <t>时间</t>
    </r>
  </si>
  <si>
    <r>
      <rPr>
        <b/>
        <sz val="12"/>
        <color indexed="8"/>
        <rFont val="宋体"/>
        <charset val="134"/>
      </rPr>
      <t>加工</t>
    </r>
    <r>
      <rPr>
        <b/>
        <sz val="12"/>
        <color indexed="8"/>
        <rFont val="Arial"/>
        <charset val="134"/>
      </rPr>
      <t xml:space="preserve">
</t>
    </r>
    <r>
      <rPr>
        <b/>
        <sz val="12"/>
        <color indexed="8"/>
        <rFont val="宋体"/>
        <charset val="134"/>
      </rPr>
      <t>金额</t>
    </r>
  </si>
  <si>
    <r>
      <rPr>
        <b/>
        <sz val="12"/>
        <color indexed="8"/>
        <rFont val="宋体"/>
        <charset val="134"/>
      </rPr>
      <t>打磨去毛刺</t>
    </r>
  </si>
  <si>
    <t>抛光</t>
  </si>
  <si>
    <r>
      <rPr>
        <b/>
        <sz val="12"/>
        <color indexed="8"/>
        <rFont val="宋体"/>
        <charset val="134"/>
      </rPr>
      <t>表面处理</t>
    </r>
  </si>
  <si>
    <t>丝印</t>
  </si>
  <si>
    <t>组合安装销钉</t>
  </si>
  <si>
    <r>
      <rPr>
        <b/>
        <sz val="12"/>
        <color indexed="8"/>
        <rFont val="宋体"/>
        <charset val="134"/>
      </rPr>
      <t>全检包装运输</t>
    </r>
  </si>
  <si>
    <r>
      <rPr>
        <b/>
        <sz val="12"/>
        <color rgb="FF000000"/>
        <rFont val="宋体"/>
        <charset val="134"/>
      </rPr>
      <t>损耗(5</t>
    </r>
    <r>
      <rPr>
        <b/>
        <sz val="12"/>
        <color indexed="8"/>
        <rFont val="Arial"/>
        <charset val="134"/>
      </rPr>
      <t>%)</t>
    </r>
  </si>
  <si>
    <r>
      <rPr>
        <b/>
        <sz val="12"/>
        <color rgb="FF000000"/>
        <rFont val="宋体"/>
        <charset val="134"/>
      </rPr>
      <t>管理费利润(5</t>
    </r>
    <r>
      <rPr>
        <b/>
        <sz val="12"/>
        <color indexed="8"/>
        <rFont val="Arial"/>
        <charset val="134"/>
      </rPr>
      <t>%</t>
    </r>
    <r>
      <rPr>
        <b/>
        <sz val="12"/>
        <color indexed="8"/>
        <rFont val="宋体"/>
        <charset val="134"/>
      </rPr>
      <t>)</t>
    </r>
  </si>
  <si>
    <t>合计   金额</t>
  </si>
  <si>
    <r>
      <rPr>
        <b/>
        <sz val="12"/>
        <color indexed="8"/>
        <rFont val="宋体"/>
        <charset val="134"/>
      </rPr>
      <t>含税</t>
    </r>
    <r>
      <rPr>
        <sz val="10"/>
        <color indexed="8"/>
        <rFont val="宋体"/>
        <charset val="134"/>
      </rPr>
      <t>(</t>
    </r>
    <r>
      <rPr>
        <sz val="10"/>
        <color indexed="8"/>
        <rFont val="Arial"/>
        <charset val="134"/>
      </rPr>
      <t>13%</t>
    </r>
    <r>
      <rPr>
        <sz val="10"/>
        <color indexed="8"/>
        <rFont val="宋体"/>
        <charset val="134"/>
      </rPr>
      <t>)</t>
    </r>
  </si>
  <si>
    <r>
      <rPr>
        <sz val="12"/>
        <color indexed="8"/>
        <rFont val="宋体"/>
        <charset val="134"/>
      </rPr>
      <t>金额  含税</t>
    </r>
    <r>
      <rPr>
        <sz val="10"/>
        <color indexed="8"/>
        <rFont val="宋体"/>
        <charset val="134"/>
      </rPr>
      <t>(</t>
    </r>
    <r>
      <rPr>
        <sz val="10"/>
        <color indexed="8"/>
        <rFont val="Arial"/>
        <charset val="134"/>
      </rPr>
      <t>13%</t>
    </r>
    <r>
      <rPr>
        <sz val="10"/>
        <color indexed="8"/>
        <rFont val="宋体"/>
        <charset val="134"/>
      </rPr>
      <t>)</t>
    </r>
  </si>
  <si>
    <r>
      <rPr>
        <b/>
        <sz val="12"/>
        <color indexed="8"/>
        <rFont val="宋体"/>
        <charset val="134"/>
      </rPr>
      <t>备注</t>
    </r>
  </si>
  <si>
    <r>
      <rPr>
        <sz val="12"/>
        <rFont val="宋体"/>
        <charset val="134"/>
      </rPr>
      <t>预计单价</t>
    </r>
  </si>
  <si>
    <r>
      <rPr>
        <sz val="12"/>
        <rFont val="宋体"/>
        <charset val="134"/>
      </rPr>
      <t>调比</t>
    </r>
  </si>
  <si>
    <t>ND18G-02-008T1 电机盖</t>
  </si>
  <si>
    <t>25*25*27.6</t>
  </si>
  <si>
    <t>CNC外曲面不加工，只加工轮廓和孔</t>
  </si>
  <si>
    <t>报价人：王俊彬</t>
  </si>
  <si>
    <t>日期：2026.04.11</t>
  </si>
  <si>
    <t>日期：2026/04/13</t>
  </si>
  <si>
    <t>CNC4-5aix</t>
  </si>
  <si>
    <t>两处尺寸受变形影响，用什么标准确认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</si>
</sst>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-\¥* #,##0.00_-;\-\¥* #,##0.00_-;_-\¥* &quot;-&quot;??_-;_-@_-"/>
    <numFmt numFmtId="177" formatCode="[$¥-804]#,##0.00"/>
    <numFmt numFmtId="178" formatCode="0.00_ "/>
    <numFmt numFmtId="179" formatCode="0.00_ ;[Red]\-0.00\ "/>
    <numFmt numFmtId="180" formatCode="0.000_ "/>
  </numFmts>
  <fonts count="47">
    <font>
      <sz val="12"/>
      <name val="宋体"/>
      <charset val="134"/>
    </font>
    <font>
      <sz val="10"/>
      <name val="Arial"/>
      <charset val="134"/>
    </font>
    <font>
      <sz val="12"/>
      <name val="Arial"/>
      <charset val="134"/>
    </font>
    <font>
      <b/>
      <sz val="22"/>
      <name val="宋体"/>
      <charset val="134"/>
    </font>
    <font>
      <b/>
      <sz val="18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b/>
      <sz val="12"/>
      <name val="新宋体"/>
      <charset val="134"/>
    </font>
    <font>
      <b/>
      <sz val="12"/>
      <color rgb="FF000000"/>
      <name val="新宋体"/>
      <charset val="134"/>
    </font>
    <font>
      <b/>
      <sz val="12"/>
      <color indexed="8"/>
      <name val="Arial"/>
      <charset val="134"/>
    </font>
    <font>
      <b/>
      <sz val="12"/>
      <color rgb="FF000000"/>
      <name val="宋体"/>
      <charset val="134"/>
    </font>
    <font>
      <b/>
      <sz val="11"/>
      <name val="SimHei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b/>
      <sz val="12"/>
      <color rgb="FF000000"/>
      <name val="Arial"/>
      <charset val="134"/>
    </font>
    <font>
      <sz val="10"/>
      <color indexed="8"/>
      <name val="Arial"/>
      <charset val="134"/>
    </font>
    <font>
      <sz val="10"/>
      <color rgb="FF000000"/>
      <name val="宋体"/>
      <charset val="134"/>
    </font>
    <font>
      <b/>
      <sz val="14"/>
      <name val="宋体"/>
      <charset val="134"/>
    </font>
    <font>
      <b/>
      <sz val="12"/>
      <name val="仿宋_GB2312"/>
      <charset val="134"/>
    </font>
    <font>
      <b/>
      <sz val="12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b/>
      <sz val="12"/>
      <color indexed="8"/>
      <name val="新宋体"/>
      <charset val="134"/>
    </font>
    <font>
      <b/>
      <sz val="18"/>
      <name val="新宋体"/>
      <charset val="134"/>
    </font>
    <font>
      <sz val="10"/>
      <color indexed="8"/>
      <name val="宋体"/>
      <charset val="134"/>
    </font>
    <font>
      <sz val="12"/>
      <color indexed="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8" borderId="1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18" applyNumberFormat="0" applyAlignment="0" applyProtection="0">
      <alignment vertical="center"/>
    </xf>
    <xf numFmtId="0" fontId="32" fillId="10" borderId="19" applyNumberFormat="0" applyAlignment="0" applyProtection="0">
      <alignment vertical="center"/>
    </xf>
    <xf numFmtId="0" fontId="33" fillId="10" borderId="18" applyNumberFormat="0" applyAlignment="0" applyProtection="0">
      <alignment vertical="center"/>
    </xf>
    <xf numFmtId="0" fontId="34" fillId="11" borderId="20" applyNumberFormat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0" fillId="0" borderId="0">
      <alignment vertical="center"/>
    </xf>
    <xf numFmtId="177" fontId="42" fillId="0" borderId="0">
      <alignment vertical="center"/>
    </xf>
    <xf numFmtId="0" fontId="0" fillId="0" borderId="0"/>
  </cellStyleXfs>
  <cellXfs count="7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8" fillId="2" borderId="5" xfId="0" applyNumberFormat="1" applyFont="1" applyFill="1" applyBorder="1" applyAlignment="1">
      <alignment horizontal="center" vertical="center" wrapText="1"/>
    </xf>
    <xf numFmtId="0" fontId="9" fillId="2" borderId="5" xfId="0" applyNumberFormat="1" applyFont="1" applyFill="1" applyBorder="1" applyAlignment="1">
      <alignment horizontal="center" vertical="center" wrapText="1"/>
    </xf>
    <xf numFmtId="0" fontId="9" fillId="2" borderId="5" xfId="0" applyNumberFormat="1" applyFont="1" applyFill="1" applyBorder="1" applyAlignment="1">
      <alignment horizontal="center" vertical="center"/>
    </xf>
    <xf numFmtId="0" fontId="10" fillId="2" borderId="5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4" fillId="2" borderId="5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/>
    </xf>
    <xf numFmtId="0" fontId="9" fillId="4" borderId="5" xfId="0" applyNumberFormat="1" applyFont="1" applyFill="1" applyBorder="1" applyAlignment="1">
      <alignment horizontal="center" vertical="center" wrapText="1"/>
    </xf>
    <xf numFmtId="0" fontId="10" fillId="5" borderId="5" xfId="0" applyNumberFormat="1" applyFont="1" applyFill="1" applyBorder="1" applyAlignment="1">
      <alignment horizontal="center" vertical="center" wrapText="1"/>
    </xf>
    <xf numFmtId="0" fontId="13" fillId="2" borderId="6" xfId="0" applyNumberFormat="1" applyFont="1" applyFill="1" applyBorder="1" applyAlignment="1">
      <alignment horizontal="center" vertical="center" wrapText="1"/>
    </xf>
    <xf numFmtId="0" fontId="15" fillId="3" borderId="6" xfId="2" applyNumberFormat="1" applyFont="1" applyFill="1" applyBorder="1" applyAlignment="1">
      <alignment horizontal="center" vertical="center" wrapText="1"/>
    </xf>
    <xf numFmtId="179" fontId="15" fillId="4" borderId="6" xfId="2" applyNumberFormat="1" applyFont="1" applyFill="1" applyBorder="1" applyAlignment="1">
      <alignment horizontal="center" vertical="center" wrapText="1"/>
    </xf>
    <xf numFmtId="0" fontId="16" fillId="5" borderId="6" xfId="2" applyNumberFormat="1" applyFont="1" applyFill="1" applyBorder="1" applyAlignment="1">
      <alignment horizontal="center" vertical="center" wrapText="1"/>
    </xf>
    <xf numFmtId="179" fontId="1" fillId="0" borderId="0" xfId="0" applyNumberFormat="1" applyFont="1" applyBorder="1" applyAlignment="1">
      <alignment vertical="center"/>
    </xf>
    <xf numFmtId="179" fontId="1" fillId="0" borderId="8" xfId="0" applyNumberFormat="1" applyFont="1" applyFill="1" applyBorder="1" applyAlignment="1">
      <alignment vertical="center"/>
    </xf>
    <xf numFmtId="0" fontId="5" fillId="0" borderId="9" xfId="0" applyNumberFormat="1" applyFont="1" applyBorder="1" applyAlignment="1">
      <alignment horizontal="left" vertical="center"/>
    </xf>
    <xf numFmtId="0" fontId="9" fillId="5" borderId="5" xfId="0" applyNumberFormat="1" applyFont="1" applyFill="1" applyBorder="1" applyAlignment="1">
      <alignment horizontal="center" vertical="center" wrapText="1"/>
    </xf>
    <xf numFmtId="0" fontId="1" fillId="6" borderId="6" xfId="0" applyNumberFormat="1" applyFont="1" applyFill="1" applyBorder="1" applyAlignment="1">
      <alignment horizontal="center" vertical="center" wrapText="1"/>
    </xf>
    <xf numFmtId="0" fontId="15" fillId="6" borderId="6" xfId="2" applyNumberFormat="1" applyFont="1" applyFill="1" applyBorder="1" applyAlignment="1">
      <alignment horizontal="center" vertical="center" wrapText="1"/>
    </xf>
    <xf numFmtId="0" fontId="15" fillId="5" borderId="6" xfId="2" applyNumberFormat="1" applyFont="1" applyFill="1" applyBorder="1" applyAlignment="1">
      <alignment horizontal="center" vertical="center" wrapText="1"/>
    </xf>
    <xf numFmtId="179" fontId="17" fillId="0" borderId="0" xfId="0" applyNumberFormat="1" applyFont="1" applyBorder="1" applyAlignment="1">
      <alignment horizontal="center" vertical="center"/>
    </xf>
    <xf numFmtId="179" fontId="1" fillId="0" borderId="8" xfId="0" applyNumberFormat="1" applyFont="1" applyBorder="1" applyAlignment="1">
      <alignment vertical="center"/>
    </xf>
    <xf numFmtId="179" fontId="17" fillId="0" borderId="8" xfId="0" applyNumberFormat="1" applyFont="1" applyBorder="1" applyAlignment="1">
      <alignment horizontal="center" vertical="center"/>
    </xf>
    <xf numFmtId="178" fontId="5" fillId="0" borderId="10" xfId="0" applyNumberFormat="1" applyFont="1" applyBorder="1" applyAlignment="1">
      <alignment horizontal="center" vertical="center"/>
    </xf>
    <xf numFmtId="0" fontId="18" fillId="0" borderId="1" xfId="0" applyNumberFormat="1" applyFont="1" applyBorder="1" applyAlignment="1">
      <alignment vertical="center" wrapText="1"/>
    </xf>
    <xf numFmtId="0" fontId="5" fillId="0" borderId="2" xfId="0" applyNumberFormat="1" applyFont="1" applyBorder="1" applyAlignment="1">
      <alignment vertical="center"/>
    </xf>
    <xf numFmtId="178" fontId="10" fillId="5" borderId="5" xfId="0" applyNumberFormat="1" applyFont="1" applyFill="1" applyBorder="1" applyAlignment="1">
      <alignment horizontal="center" vertical="center" wrapText="1"/>
    </xf>
    <xf numFmtId="178" fontId="9" fillId="5" borderId="5" xfId="0" applyNumberFormat="1" applyFont="1" applyFill="1" applyBorder="1" applyAlignment="1">
      <alignment horizontal="center" vertical="center" wrapText="1"/>
    </xf>
    <xf numFmtId="178" fontId="19" fillId="5" borderId="5" xfId="0" applyNumberFormat="1" applyFont="1" applyFill="1" applyBorder="1" applyAlignment="1">
      <alignment horizontal="center" vertical="center" wrapText="1"/>
    </xf>
    <xf numFmtId="178" fontId="20" fillId="6" borderId="5" xfId="0" applyNumberFormat="1" applyFont="1" applyFill="1" applyBorder="1" applyAlignment="1">
      <alignment horizontal="center" vertical="center" wrapText="1"/>
    </xf>
    <xf numFmtId="178" fontId="1" fillId="5" borderId="6" xfId="2" applyNumberFormat="1" applyFont="1" applyFill="1" applyBorder="1" applyAlignment="1">
      <alignment horizontal="center" vertical="center" wrapText="1"/>
    </xf>
    <xf numFmtId="178" fontId="1" fillId="5" borderId="6" xfId="0" applyNumberFormat="1" applyFont="1" applyFill="1" applyBorder="1" applyAlignment="1">
      <alignment horizontal="center" vertical="center"/>
    </xf>
    <xf numFmtId="178" fontId="1" fillId="6" borderId="6" xfId="0" applyNumberFormat="1" applyFont="1" applyFill="1" applyBorder="1" applyAlignment="1">
      <alignment horizontal="center" vertical="center"/>
    </xf>
    <xf numFmtId="179" fontId="17" fillId="0" borderId="11" xfId="0" applyNumberFormat="1" applyFont="1" applyBorder="1" applyAlignment="1">
      <alignment horizontal="left" vertical="center"/>
    </xf>
    <xf numFmtId="179" fontId="17" fillId="0" borderId="11" xfId="0" applyNumberFormat="1" applyFont="1" applyFill="1" applyBorder="1" applyAlignment="1">
      <alignment horizontal="left" vertical="center"/>
    </xf>
    <xf numFmtId="179" fontId="17" fillId="0" borderId="8" xfId="0" applyNumberFormat="1" applyFont="1" applyFill="1" applyBorder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5" fillId="0" borderId="9" xfId="0" applyNumberFormat="1" applyFont="1" applyBorder="1" applyAlignment="1">
      <alignment vertical="center"/>
    </xf>
    <xf numFmtId="178" fontId="9" fillId="7" borderId="5" xfId="0" applyNumberFormat="1" applyFont="1" applyFill="1" applyBorder="1" applyAlignment="1">
      <alignment horizontal="center" vertical="center" wrapText="1"/>
    </xf>
    <xf numFmtId="178" fontId="21" fillId="2" borderId="5" xfId="0" applyNumberFormat="1" applyFont="1" applyFill="1" applyBorder="1" applyAlignment="1">
      <alignment horizontal="center" vertical="center" wrapText="1"/>
    </xf>
    <xf numFmtId="178" fontId="9" fillId="2" borderId="13" xfId="0" applyNumberFormat="1" applyFont="1" applyFill="1" applyBorder="1" applyAlignment="1">
      <alignment horizontal="center" vertical="center" wrapText="1"/>
    </xf>
    <xf numFmtId="178" fontId="1" fillId="7" borderId="6" xfId="0" applyNumberFormat="1" applyFont="1" applyFill="1" applyBorder="1" applyAlignment="1">
      <alignment horizontal="center" vertical="center"/>
    </xf>
    <xf numFmtId="178" fontId="1" fillId="2" borderId="6" xfId="0" applyNumberFormat="1" applyFont="1" applyFill="1" applyBorder="1" applyAlignment="1">
      <alignment horizontal="center" vertical="center"/>
    </xf>
    <xf numFmtId="180" fontId="16" fillId="6" borderId="6" xfId="0" applyNumberFormat="1" applyFont="1" applyFill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178" fontId="0" fillId="0" borderId="0" xfId="0" applyNumberFormat="1" applyFont="1" applyAlignme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一般 5" xfId="50"/>
    <cellStyle name="一般_mini box" xfId="51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44450</xdr:colOff>
      <xdr:row>0</xdr:row>
      <xdr:rowOff>59690</xdr:rowOff>
    </xdr:from>
    <xdr:to>
      <xdr:col>3</xdr:col>
      <xdr:colOff>795655</xdr:colOff>
      <xdr:row>1</xdr:row>
      <xdr:rowOff>327025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6070" y="59690"/>
          <a:ext cx="751205" cy="75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45085</xdr:colOff>
      <xdr:row>4</xdr:row>
      <xdr:rowOff>130175</xdr:rowOff>
    </xdr:from>
    <xdr:to>
      <xdr:col>3</xdr:col>
      <xdr:colOff>947420</xdr:colOff>
      <xdr:row>4</xdr:row>
      <xdr:rowOff>920115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76705" y="2178050"/>
          <a:ext cx="902335" cy="789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44450</xdr:colOff>
      <xdr:row>0</xdr:row>
      <xdr:rowOff>59690</xdr:rowOff>
    </xdr:from>
    <xdr:to>
      <xdr:col>3</xdr:col>
      <xdr:colOff>795655</xdr:colOff>
      <xdr:row>1</xdr:row>
      <xdr:rowOff>327025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6070" y="59690"/>
          <a:ext cx="751205" cy="75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45085</xdr:colOff>
      <xdr:row>4</xdr:row>
      <xdr:rowOff>130175</xdr:rowOff>
    </xdr:from>
    <xdr:to>
      <xdr:col>3</xdr:col>
      <xdr:colOff>947420</xdr:colOff>
      <xdr:row>4</xdr:row>
      <xdr:rowOff>920115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76705" y="2178050"/>
          <a:ext cx="902335" cy="789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370840</xdr:colOff>
      <xdr:row>7</xdr:row>
      <xdr:rowOff>84455</xdr:rowOff>
    </xdr:from>
    <xdr:to>
      <xdr:col>18</xdr:col>
      <xdr:colOff>402590</xdr:colOff>
      <xdr:row>25</xdr:row>
      <xdr:rowOff>12700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165600" y="4416425"/>
          <a:ext cx="4222750" cy="3357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358140</xdr:colOff>
      <xdr:row>8</xdr:row>
      <xdr:rowOff>9525</xdr:rowOff>
    </xdr:from>
    <xdr:to>
      <xdr:col>27</xdr:col>
      <xdr:colOff>399415</xdr:colOff>
      <xdr:row>24</xdr:row>
      <xdr:rowOff>90805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43900" y="4531995"/>
          <a:ext cx="4178935" cy="3129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396240</xdr:colOff>
      <xdr:row>8</xdr:row>
      <xdr:rowOff>74295</xdr:rowOff>
    </xdr:from>
    <xdr:to>
      <xdr:col>33</xdr:col>
      <xdr:colOff>131445</xdr:colOff>
      <xdr:row>20</xdr:row>
      <xdr:rowOff>131445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519660" y="4596765"/>
          <a:ext cx="2790825" cy="2343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N25"/>
  <sheetViews>
    <sheetView zoomScale="90" zoomScaleNormal="90" workbookViewId="0">
      <pane ySplit="4" topLeftCell="A5" activePane="bottomLeft" state="frozen"/>
      <selection/>
      <selection pane="bottomLeft" activeCell="W11" sqref="W11"/>
    </sheetView>
  </sheetViews>
  <sheetFormatPr defaultColWidth="9" defaultRowHeight="15"/>
  <cols>
    <col min="1" max="1" width="3.4" style="3" customWidth="1"/>
    <col min="2" max="2" width="6.7" style="3" hidden="1" customWidth="1"/>
    <col min="3" max="3" width="16.7" style="4" customWidth="1"/>
    <col min="4" max="4" width="15.1" style="4" customWidth="1"/>
    <col min="5" max="5" width="11.4" style="5" customWidth="1"/>
    <col min="6" max="6" width="3.2" style="5" customWidth="1"/>
    <col min="7" max="7" width="5.4" style="5" customWidth="1"/>
    <col min="8" max="8" width="6.4" style="5" customWidth="1"/>
    <col min="9" max="10" width="5.9" style="5" customWidth="1"/>
    <col min="11" max="11" width="7.1" style="5" customWidth="1"/>
    <col min="12" max="12" width="6.2" style="5" customWidth="1"/>
    <col min="13" max="13" width="5.8" style="5" customWidth="1"/>
    <col min="14" max="14" width="5.1" style="5" customWidth="1"/>
    <col min="15" max="15" width="7.2" style="5" customWidth="1"/>
    <col min="16" max="18" width="7.2" style="5" hidden="1" customWidth="1"/>
    <col min="19" max="20" width="7.2" style="5" customWidth="1"/>
    <col min="21" max="21" width="5.6" style="5" customWidth="1"/>
    <col min="22" max="22" width="5" style="5" customWidth="1"/>
    <col min="23" max="23" width="6.4" style="5" customWidth="1"/>
    <col min="24" max="24" width="5.8" style="5" customWidth="1"/>
    <col min="25" max="25" width="4.3" style="5" customWidth="1"/>
    <col min="26" max="27" width="6.4" style="6" customWidth="1"/>
    <col min="28" max="28" width="5.6" style="6" customWidth="1"/>
    <col min="29" max="30" width="5.9" style="6" customWidth="1"/>
    <col min="31" max="31" width="7.6" style="6" customWidth="1"/>
    <col min="32" max="32" width="7.2" style="6" customWidth="1"/>
    <col min="33" max="33" width="7.9" style="6" customWidth="1"/>
    <col min="34" max="34" width="6.9" style="6" customWidth="1"/>
    <col min="35" max="35" width="8.1" style="6" customWidth="1"/>
    <col min="36" max="37" width="9" style="3" hidden="1" customWidth="1"/>
    <col min="38" max="38" width="11.1" style="3" hidden="1" customWidth="1"/>
    <col min="39" max="16384" width="9" style="3"/>
  </cols>
  <sheetData>
    <row r="1" ht="38.4" customHeight="1" spans="1:40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6"/>
    </row>
    <row r="2" ht="34.05" customHeight="1" spans="1:40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N2" s="67"/>
    </row>
    <row r="3" ht="25.8" customHeight="1" spans="1:40">
      <c r="A3" s="11" t="s">
        <v>2</v>
      </c>
      <c r="B3" s="12"/>
      <c r="C3" s="13"/>
      <c r="D3" s="13"/>
      <c r="E3" s="12"/>
      <c r="F3" s="12"/>
      <c r="G3" s="12"/>
      <c r="H3" s="12"/>
      <c r="I3" s="12"/>
      <c r="J3" s="12"/>
      <c r="K3" s="12"/>
      <c r="L3" s="12"/>
      <c r="M3" s="12"/>
      <c r="N3" s="31"/>
      <c r="O3" s="32" t="s">
        <v>3</v>
      </c>
      <c r="P3" s="33"/>
      <c r="Q3" s="33"/>
      <c r="R3" s="33"/>
      <c r="S3" s="33"/>
      <c r="T3" s="33"/>
      <c r="U3" s="33"/>
      <c r="V3" s="33"/>
      <c r="W3" s="33"/>
      <c r="X3" s="44"/>
      <c r="Y3" s="44"/>
      <c r="Z3" s="52"/>
      <c r="AA3" s="52"/>
      <c r="AB3" s="52"/>
      <c r="AC3" s="52"/>
      <c r="AD3" s="52"/>
      <c r="AE3" s="53" t="s">
        <v>4</v>
      </c>
      <c r="AF3" s="54"/>
      <c r="AG3" s="54"/>
      <c r="AH3" s="54"/>
      <c r="AI3" s="68"/>
      <c r="AN3" s="67"/>
    </row>
    <row r="4" ht="63" customHeight="1" spans="1:40">
      <c r="A4" s="14" t="s">
        <v>5</v>
      </c>
      <c r="B4" s="15" t="s">
        <v>6</v>
      </c>
      <c r="C4" s="16" t="s">
        <v>7</v>
      </c>
      <c r="D4" s="16" t="s">
        <v>8</v>
      </c>
      <c r="E4" s="17" t="s">
        <v>9</v>
      </c>
      <c r="F4" s="18" t="s">
        <v>10</v>
      </c>
      <c r="G4" s="19" t="s">
        <v>11</v>
      </c>
      <c r="H4" s="20" t="s">
        <v>12</v>
      </c>
      <c r="I4" s="34" t="s">
        <v>13</v>
      </c>
      <c r="J4" s="20" t="s">
        <v>14</v>
      </c>
      <c r="K4" s="34" t="s">
        <v>15</v>
      </c>
      <c r="L4" s="34" t="s">
        <v>16</v>
      </c>
      <c r="M4" s="34" t="s">
        <v>17</v>
      </c>
      <c r="N4" s="35" t="s">
        <v>18</v>
      </c>
      <c r="O4" s="36" t="s">
        <v>19</v>
      </c>
      <c r="P4" s="37" t="s">
        <v>20</v>
      </c>
      <c r="Q4" s="37" t="s">
        <v>21</v>
      </c>
      <c r="R4" s="37" t="s">
        <v>22</v>
      </c>
      <c r="S4" s="37" t="s">
        <v>23</v>
      </c>
      <c r="T4" s="37" t="s">
        <v>24</v>
      </c>
      <c r="U4" s="45" t="s">
        <v>25</v>
      </c>
      <c r="V4" s="45" t="s">
        <v>26</v>
      </c>
      <c r="W4" s="45" t="s">
        <v>27</v>
      </c>
      <c r="X4" s="45" t="s">
        <v>28</v>
      </c>
      <c r="Y4" s="55" t="s">
        <v>29</v>
      </c>
      <c r="Z4" s="56" t="s">
        <v>30</v>
      </c>
      <c r="AA4" s="57" t="s">
        <v>31</v>
      </c>
      <c r="AB4" s="55" t="s">
        <v>32</v>
      </c>
      <c r="AC4" s="56" t="s">
        <v>33</v>
      </c>
      <c r="AD4" s="55" t="s">
        <v>34</v>
      </c>
      <c r="AE4" s="55" t="s">
        <v>35</v>
      </c>
      <c r="AF4" s="58" t="s">
        <v>36</v>
      </c>
      <c r="AG4" s="69" t="s">
        <v>37</v>
      </c>
      <c r="AH4" s="70" t="s">
        <v>38</v>
      </c>
      <c r="AI4" s="71" t="s">
        <v>39</v>
      </c>
      <c r="AK4" s="3" t="s">
        <v>40</v>
      </c>
      <c r="AL4" s="3" t="s">
        <v>41</v>
      </c>
      <c r="AN4" s="67"/>
    </row>
    <row r="5" s="2" customFormat="1" ht="97.95" customHeight="1" spans="1:40">
      <c r="A5" s="21">
        <v>1</v>
      </c>
      <c r="B5" s="22"/>
      <c r="C5" s="22" t="s">
        <v>42</v>
      </c>
      <c r="D5" s="23"/>
      <c r="E5" s="24" t="s">
        <v>43</v>
      </c>
      <c r="F5" s="25">
        <v>1</v>
      </c>
      <c r="G5" s="24">
        <v>1070</v>
      </c>
      <c r="H5" s="24">
        <v>8000</v>
      </c>
      <c r="I5" s="38">
        <v>0.05</v>
      </c>
      <c r="J5" s="38">
        <v>0.035</v>
      </c>
      <c r="K5" s="38">
        <v>0.018</v>
      </c>
      <c r="L5" s="38">
        <v>0.007</v>
      </c>
      <c r="M5" s="38">
        <v>0</v>
      </c>
      <c r="N5" s="39">
        <v>30</v>
      </c>
      <c r="O5" s="40">
        <f>(N5*I5)-(M5*L5)</f>
        <v>1.5</v>
      </c>
      <c r="P5" s="41">
        <v>0</v>
      </c>
      <c r="Q5" s="41">
        <v>0</v>
      </c>
      <c r="R5" s="41">
        <v>0</v>
      </c>
      <c r="S5" s="41">
        <v>2.5</v>
      </c>
      <c r="T5" s="41"/>
      <c r="U5" s="41">
        <v>0</v>
      </c>
      <c r="V5" s="46">
        <v>10</v>
      </c>
      <c r="W5" s="47">
        <f>V5*0.8</f>
        <v>8</v>
      </c>
      <c r="X5" s="48">
        <v>0.2</v>
      </c>
      <c r="Y5" s="48">
        <v>0</v>
      </c>
      <c r="Z5" s="59">
        <v>0</v>
      </c>
      <c r="AA5" s="59">
        <v>0</v>
      </c>
      <c r="AB5" s="59">
        <v>0</v>
      </c>
      <c r="AC5" s="60">
        <v>0.1</v>
      </c>
      <c r="AD5" s="60">
        <f>(AC5+Z5+W5+AA5+O5+P5+Q5+R5+S5+T5+X5+AB5+Y5)*0.05</f>
        <v>0.615</v>
      </c>
      <c r="AE5" s="60">
        <f>(AD5+AC5+Z5+W5+AA5+O5+Q5+P5+R5+S5+T5+X5+AB5+Y5)*0.05</f>
        <v>0.64575</v>
      </c>
      <c r="AF5" s="61">
        <f>AE5+AD5+AC5+Z5+W5+P5+Q5+R5+T5+S5+X5+AA5+AB5+Y5</f>
        <v>12.06075</v>
      </c>
      <c r="AG5" s="72">
        <f>AF5*1.13+O5</f>
        <v>15.1286475</v>
      </c>
      <c r="AH5" s="73">
        <f>AG5*F5</f>
        <v>15.1286475</v>
      </c>
      <c r="AI5" s="74" t="s">
        <v>44</v>
      </c>
      <c r="AN5" s="75"/>
    </row>
    <row r="6" ht="40.95" customHeight="1" spans="1:40">
      <c r="A6" s="26"/>
      <c r="O6" s="42"/>
      <c r="P6" s="42"/>
      <c r="Q6" s="42"/>
      <c r="R6" s="42"/>
      <c r="S6" s="42"/>
      <c r="T6" s="42"/>
      <c r="U6" s="42"/>
      <c r="V6" s="42"/>
      <c r="W6" s="49"/>
      <c r="X6" s="49"/>
      <c r="Y6" s="49"/>
      <c r="Z6" s="42"/>
      <c r="AA6" s="42"/>
      <c r="AB6" s="42"/>
      <c r="AC6" s="62" t="s">
        <v>45</v>
      </c>
      <c r="AD6" s="62"/>
      <c r="AE6" s="62"/>
      <c r="AF6" s="63"/>
      <c r="AG6" s="63"/>
      <c r="AH6" s="62"/>
      <c r="AI6" s="62"/>
      <c r="AN6" s="67"/>
    </row>
    <row r="7" ht="40.95" customHeight="1" spans="1:40">
      <c r="A7" s="27"/>
      <c r="B7" s="28"/>
      <c r="C7" s="29"/>
      <c r="D7" s="29"/>
      <c r="E7" s="30"/>
      <c r="F7" s="30"/>
      <c r="G7" s="30"/>
      <c r="H7" s="30"/>
      <c r="I7" s="30"/>
      <c r="J7" s="30"/>
      <c r="K7" s="30"/>
      <c r="L7" s="30"/>
      <c r="M7" s="30"/>
      <c r="N7" s="30"/>
      <c r="O7" s="43"/>
      <c r="P7" s="43"/>
      <c r="Q7" s="43"/>
      <c r="R7" s="43"/>
      <c r="S7" s="43"/>
      <c r="T7" s="43"/>
      <c r="U7" s="50"/>
      <c r="V7" s="50"/>
      <c r="W7" s="51"/>
      <c r="X7" s="51"/>
      <c r="Y7" s="64"/>
      <c r="Z7" s="43"/>
      <c r="AA7" s="43"/>
      <c r="AB7" s="43"/>
      <c r="AC7" s="62" t="s">
        <v>46</v>
      </c>
      <c r="AD7" s="62"/>
      <c r="AE7" s="63"/>
      <c r="AF7" s="63"/>
      <c r="AG7" s="63"/>
      <c r="AH7" s="63"/>
      <c r="AI7" s="63"/>
      <c r="AJ7" s="28"/>
      <c r="AK7" s="28"/>
      <c r="AL7" s="28"/>
      <c r="AM7" s="28"/>
      <c r="AN7" s="76"/>
    </row>
    <row r="23" spans="29:34">
      <c r="AC23" s="77"/>
      <c r="AD23" s="77"/>
      <c r="AE23" s="77"/>
      <c r="AF23" s="77"/>
      <c r="AG23" s="77"/>
      <c r="AH23" s="77"/>
    </row>
    <row r="24" spans="29:34">
      <c r="AC24" s="77"/>
      <c r="AD24" s="77"/>
      <c r="AE24" s="77"/>
      <c r="AF24" s="77"/>
      <c r="AG24" s="77"/>
      <c r="AH24" s="77"/>
    </row>
    <row r="25" spans="29:34">
      <c r="AC25" s="77"/>
      <c r="AD25" s="77"/>
      <c r="AE25" s="77"/>
      <c r="AF25" s="77"/>
      <c r="AG25" s="77"/>
      <c r="AH25" s="77"/>
    </row>
  </sheetData>
  <mergeCells count="10">
    <mergeCell ref="A1:AN1"/>
    <mergeCell ref="A2:AI2"/>
    <mergeCell ref="A3:N3"/>
    <mergeCell ref="O3:X3"/>
    <mergeCell ref="Z3:AD3"/>
    <mergeCell ref="AE3:AI3"/>
    <mergeCell ref="W6:Y6"/>
    <mergeCell ref="AC6:AI6"/>
    <mergeCell ref="W7:Y7"/>
    <mergeCell ref="AC7:AI7"/>
  </mergeCells>
  <printOptions horizontalCentered="1"/>
  <pageMargins left="0" right="0" top="0.826771653543307" bottom="0.275590551181102" header="0.393700787401575" footer="0.196850393700787"/>
  <pageSetup paperSize="9" scale="57" orientation="landscape"/>
  <headerFooter alignWithMargins="0">
    <oddFooter>&amp;RWFX-QR-PE-005 RevB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N25"/>
  <sheetViews>
    <sheetView tabSelected="1" zoomScale="90" zoomScaleNormal="90" workbookViewId="0">
      <pane ySplit="4" topLeftCell="A5" activePane="bottomLeft" state="frozen"/>
      <selection/>
      <selection pane="bottomLeft" activeCell="AO17" sqref="AO17"/>
    </sheetView>
  </sheetViews>
  <sheetFormatPr defaultColWidth="9" defaultRowHeight="15"/>
  <cols>
    <col min="1" max="1" width="3.4" style="3" customWidth="1"/>
    <col min="2" max="2" width="6.7" style="3" hidden="1" customWidth="1"/>
    <col min="3" max="3" width="16.7" style="4" customWidth="1"/>
    <col min="4" max="4" width="15.1" style="4" customWidth="1"/>
    <col min="5" max="5" width="11.4" style="5" customWidth="1"/>
    <col min="6" max="6" width="3.2" style="5" customWidth="1"/>
    <col min="7" max="7" width="5.4" style="5" customWidth="1"/>
    <col min="8" max="8" width="6.4" style="5" customWidth="1"/>
    <col min="9" max="10" width="5.9" style="5" customWidth="1"/>
    <col min="11" max="11" width="7.1" style="5" customWidth="1"/>
    <col min="12" max="12" width="6.2" style="5" customWidth="1"/>
    <col min="13" max="13" width="5.8" style="5" customWidth="1"/>
    <col min="14" max="14" width="5.1" style="5" customWidth="1"/>
    <col min="15" max="15" width="7.2" style="5" customWidth="1"/>
    <col min="16" max="18" width="7.2" style="5" hidden="1" customWidth="1"/>
    <col min="19" max="20" width="7.2" style="5" customWidth="1"/>
    <col min="21" max="21" width="5.6" style="5" customWidth="1"/>
    <col min="22" max="22" width="5" style="5" customWidth="1"/>
    <col min="23" max="23" width="6.4" style="5" customWidth="1"/>
    <col min="24" max="24" width="5.8" style="5" customWidth="1"/>
    <col min="25" max="25" width="4.3" style="5" customWidth="1"/>
    <col min="26" max="27" width="6.4" style="6" customWidth="1"/>
    <col min="28" max="28" width="5.6" style="6" customWidth="1"/>
    <col min="29" max="30" width="5.9" style="6" customWidth="1"/>
    <col min="31" max="31" width="7.6" style="6" customWidth="1"/>
    <col min="32" max="32" width="7.2" style="6" customWidth="1"/>
    <col min="33" max="33" width="7.9" style="6" customWidth="1"/>
    <col min="34" max="34" width="6.9" style="6" customWidth="1"/>
    <col min="35" max="35" width="8.1" style="6" customWidth="1"/>
    <col min="36" max="37" width="9" style="3" hidden="1" customWidth="1"/>
    <col min="38" max="38" width="11.1" style="3" hidden="1" customWidth="1"/>
    <col min="39" max="16384" width="9" style="3"/>
  </cols>
  <sheetData>
    <row r="1" ht="38.4" customHeight="1" spans="1:40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6"/>
    </row>
    <row r="2" ht="34.05" customHeight="1" spans="1:40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N2" s="67"/>
    </row>
    <row r="3" ht="25.8" customHeight="1" spans="1:40">
      <c r="A3" s="11" t="s">
        <v>2</v>
      </c>
      <c r="B3" s="12"/>
      <c r="C3" s="13"/>
      <c r="D3" s="13"/>
      <c r="E3" s="12"/>
      <c r="F3" s="12"/>
      <c r="G3" s="12"/>
      <c r="H3" s="12"/>
      <c r="I3" s="12"/>
      <c r="J3" s="12"/>
      <c r="K3" s="12"/>
      <c r="L3" s="12"/>
      <c r="M3" s="12"/>
      <c r="N3" s="31"/>
      <c r="O3" s="32" t="s">
        <v>3</v>
      </c>
      <c r="P3" s="33"/>
      <c r="Q3" s="33"/>
      <c r="R3" s="33"/>
      <c r="S3" s="33"/>
      <c r="T3" s="33"/>
      <c r="U3" s="33"/>
      <c r="V3" s="33"/>
      <c r="W3" s="33"/>
      <c r="X3" s="44"/>
      <c r="Y3" s="44"/>
      <c r="Z3" s="52"/>
      <c r="AA3" s="52"/>
      <c r="AB3" s="52"/>
      <c r="AC3" s="52"/>
      <c r="AD3" s="52"/>
      <c r="AE3" s="53" t="s">
        <v>47</v>
      </c>
      <c r="AF3" s="54"/>
      <c r="AG3" s="54"/>
      <c r="AH3" s="54"/>
      <c r="AI3" s="68"/>
      <c r="AN3" s="67"/>
    </row>
    <row r="4" ht="63" customHeight="1" spans="1:40">
      <c r="A4" s="14" t="s">
        <v>5</v>
      </c>
      <c r="B4" s="15" t="s">
        <v>6</v>
      </c>
      <c r="C4" s="16" t="s">
        <v>7</v>
      </c>
      <c r="D4" s="16" t="s">
        <v>8</v>
      </c>
      <c r="E4" s="17" t="s">
        <v>9</v>
      </c>
      <c r="F4" s="18" t="s">
        <v>10</v>
      </c>
      <c r="G4" s="19" t="s">
        <v>11</v>
      </c>
      <c r="H4" s="20" t="s">
        <v>12</v>
      </c>
      <c r="I4" s="34" t="s">
        <v>13</v>
      </c>
      <c r="J4" s="20" t="s">
        <v>14</v>
      </c>
      <c r="K4" s="34" t="s">
        <v>15</v>
      </c>
      <c r="L4" s="34" t="s">
        <v>16</v>
      </c>
      <c r="M4" s="34" t="s">
        <v>17</v>
      </c>
      <c r="N4" s="35" t="s">
        <v>18</v>
      </c>
      <c r="O4" s="36" t="s">
        <v>19</v>
      </c>
      <c r="P4" s="37" t="s">
        <v>20</v>
      </c>
      <c r="Q4" s="37" t="s">
        <v>21</v>
      </c>
      <c r="R4" s="37" t="s">
        <v>22</v>
      </c>
      <c r="S4" s="37" t="s">
        <v>23</v>
      </c>
      <c r="T4" s="37" t="s">
        <v>24</v>
      </c>
      <c r="U4" s="45" t="s">
        <v>25</v>
      </c>
      <c r="V4" s="45" t="s">
        <v>26</v>
      </c>
      <c r="W4" s="45" t="s">
        <v>27</v>
      </c>
      <c r="X4" s="45" t="s">
        <v>28</v>
      </c>
      <c r="Y4" s="55" t="s">
        <v>29</v>
      </c>
      <c r="Z4" s="56" t="s">
        <v>30</v>
      </c>
      <c r="AA4" s="57" t="s">
        <v>31</v>
      </c>
      <c r="AB4" s="55" t="s">
        <v>32</v>
      </c>
      <c r="AC4" s="56" t="s">
        <v>33</v>
      </c>
      <c r="AD4" s="55" t="s">
        <v>34</v>
      </c>
      <c r="AE4" s="55" t="s">
        <v>35</v>
      </c>
      <c r="AF4" s="58" t="s">
        <v>36</v>
      </c>
      <c r="AG4" s="69" t="s">
        <v>37</v>
      </c>
      <c r="AH4" s="70" t="s">
        <v>38</v>
      </c>
      <c r="AI4" s="71" t="s">
        <v>39</v>
      </c>
      <c r="AK4" s="3" t="s">
        <v>40</v>
      </c>
      <c r="AL4" s="3" t="s">
        <v>41</v>
      </c>
      <c r="AN4" s="67"/>
    </row>
    <row r="5" s="2" customFormat="1" ht="97.95" customHeight="1" spans="1:40">
      <c r="A5" s="21">
        <v>1</v>
      </c>
      <c r="B5" s="22"/>
      <c r="C5" s="22" t="s">
        <v>42</v>
      </c>
      <c r="D5" s="23"/>
      <c r="E5" s="24" t="s">
        <v>43</v>
      </c>
      <c r="F5" s="25">
        <v>1</v>
      </c>
      <c r="G5" s="24">
        <v>1070</v>
      </c>
      <c r="H5" s="24">
        <v>8000</v>
      </c>
      <c r="I5" s="38">
        <v>0.05</v>
      </c>
      <c r="J5" s="38">
        <v>0.035</v>
      </c>
      <c r="K5" s="38">
        <v>0.018</v>
      </c>
      <c r="L5" s="38">
        <v>0.007</v>
      </c>
      <c r="M5" s="38">
        <v>0</v>
      </c>
      <c r="N5" s="39">
        <v>30</v>
      </c>
      <c r="O5" s="40">
        <f>(N5*I5)-(M5*L5)</f>
        <v>1.5</v>
      </c>
      <c r="P5" s="41">
        <v>0</v>
      </c>
      <c r="Q5" s="41">
        <v>0</v>
      </c>
      <c r="R5" s="41">
        <v>0</v>
      </c>
      <c r="S5" s="41">
        <v>2.5</v>
      </c>
      <c r="T5" s="41"/>
      <c r="U5" s="41" t="s">
        <v>48</v>
      </c>
      <c r="V5" s="46">
        <v>8</v>
      </c>
      <c r="W5" s="47">
        <f>V5*0.8</f>
        <v>6.4</v>
      </c>
      <c r="X5" s="48">
        <v>0.2</v>
      </c>
      <c r="Y5" s="48">
        <v>0</v>
      </c>
      <c r="Z5" s="59">
        <v>1.5</v>
      </c>
      <c r="AA5" s="59">
        <v>0</v>
      </c>
      <c r="AB5" s="59">
        <v>0</v>
      </c>
      <c r="AC5" s="60">
        <v>0.3</v>
      </c>
      <c r="AD5" s="60">
        <f>(AC5+Z5+W5+AA5+O5+P5+Q5+R5+S5+T5+X5+AB5+Y5)*0.06</f>
        <v>0.744</v>
      </c>
      <c r="AE5" s="60">
        <f>(AD5+AC5+Z5+W5+AA5+O5+Q5+P5+R5+S5+T5+X5+AB5+Y5)*0.05</f>
        <v>0.6572</v>
      </c>
      <c r="AF5" s="61">
        <f>AE5+AD5+AC5+Z5+W5+P5+Q5+R5+T5+S5+X5+AA5+AB5+Y5</f>
        <v>12.3012</v>
      </c>
      <c r="AG5" s="72">
        <f>AF5*1.13+O5</f>
        <v>15.400356</v>
      </c>
      <c r="AH5" s="73">
        <f>AG5*F5</f>
        <v>15.400356</v>
      </c>
      <c r="AI5" s="74" t="s">
        <v>44</v>
      </c>
      <c r="AN5" s="75"/>
    </row>
    <row r="6" ht="40.95" customHeight="1" spans="1:40">
      <c r="A6" s="26"/>
      <c r="O6" s="42"/>
      <c r="P6" s="42"/>
      <c r="Q6" s="42"/>
      <c r="R6" s="42"/>
      <c r="S6" s="42"/>
      <c r="T6" s="42"/>
      <c r="U6" s="42"/>
      <c r="V6" s="42"/>
      <c r="W6" s="49"/>
      <c r="X6" s="49"/>
      <c r="Y6" s="49"/>
      <c r="Z6" s="42"/>
      <c r="AA6" s="42"/>
      <c r="AB6" s="42"/>
      <c r="AC6" s="62" t="s">
        <v>45</v>
      </c>
      <c r="AD6" s="62"/>
      <c r="AE6" s="62"/>
      <c r="AF6" s="63"/>
      <c r="AG6" s="63"/>
      <c r="AH6" s="62"/>
      <c r="AI6" s="62"/>
      <c r="AN6" s="67"/>
    </row>
    <row r="7" ht="40.95" customHeight="1" spans="1:40">
      <c r="A7" s="27"/>
      <c r="B7" s="28"/>
      <c r="C7" s="29"/>
      <c r="D7" s="29"/>
      <c r="E7" s="30"/>
      <c r="F7" s="30"/>
      <c r="G7" s="30"/>
      <c r="H7" s="30"/>
      <c r="I7" s="30"/>
      <c r="J7" s="30"/>
      <c r="K7" s="30"/>
      <c r="L7" s="30"/>
      <c r="M7" s="30"/>
      <c r="N7" s="30"/>
      <c r="O7" s="43"/>
      <c r="P7" s="43"/>
      <c r="Q7" s="43"/>
      <c r="R7" s="43"/>
      <c r="S7" s="43"/>
      <c r="T7" s="43"/>
      <c r="U7" s="50"/>
      <c r="V7" s="50"/>
      <c r="W7" s="51"/>
      <c r="X7" s="51"/>
      <c r="Y7" s="64"/>
      <c r="Z7" s="43"/>
      <c r="AA7" s="43"/>
      <c r="AB7" s="43"/>
      <c r="AC7" s="62" t="s">
        <v>46</v>
      </c>
      <c r="AD7" s="62"/>
      <c r="AE7" s="63"/>
      <c r="AF7" s="63"/>
      <c r="AG7" s="63"/>
      <c r="AH7" s="63"/>
      <c r="AI7" s="63"/>
      <c r="AJ7" s="28"/>
      <c r="AK7" s="28"/>
      <c r="AL7" s="28"/>
      <c r="AM7" s="28"/>
      <c r="AN7" s="76"/>
    </row>
    <row r="23" spans="29:34">
      <c r="AC23" s="65" t="s">
        <v>49</v>
      </c>
      <c r="AD23" s="65"/>
      <c r="AE23" s="65"/>
      <c r="AF23" s="65"/>
      <c r="AG23" s="65"/>
      <c r="AH23" s="65"/>
    </row>
    <row r="24" spans="29:34">
      <c r="AC24" s="65"/>
      <c r="AD24" s="65"/>
      <c r="AE24" s="65"/>
      <c r="AF24" s="65"/>
      <c r="AG24" s="65"/>
      <c r="AH24" s="65"/>
    </row>
    <row r="25" spans="29:34">
      <c r="AC25" s="65"/>
      <c r="AD25" s="65"/>
      <c r="AE25" s="65"/>
      <c r="AF25" s="65"/>
      <c r="AG25" s="65"/>
      <c r="AH25" s="65"/>
    </row>
  </sheetData>
  <mergeCells count="11">
    <mergeCell ref="A1:AN1"/>
    <mergeCell ref="A2:AI2"/>
    <mergeCell ref="A3:N3"/>
    <mergeCell ref="O3:X3"/>
    <mergeCell ref="Z3:AD3"/>
    <mergeCell ref="AE3:AI3"/>
    <mergeCell ref="W6:Y6"/>
    <mergeCell ref="AC6:AI6"/>
    <mergeCell ref="W7:Y7"/>
    <mergeCell ref="AC7:AI7"/>
    <mergeCell ref="AC23:AH25"/>
  </mergeCells>
  <printOptions horizontalCentered="1"/>
  <pageMargins left="0" right="0" top="0.826771653543307" bottom="0.275590551181102" header="0.393700787401575" footer="0.196850393700787"/>
  <pageSetup paperSize="9" scale="57" orientation="landscape"/>
  <headerFooter alignWithMargins="0">
    <oddFooter>&amp;RWFX-QR-PE-005 RevB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:J5"/>
  <sheetViews>
    <sheetView workbookViewId="0">
      <selection activeCell="H20" sqref="H20"/>
    </sheetView>
  </sheetViews>
  <sheetFormatPr defaultColWidth="9" defaultRowHeight="14.25" outlineLevelRow="4"/>
  <sheetData>
    <row r="2" spans="5:10">
      <c r="E2" s="1"/>
      <c r="F2" s="1"/>
      <c r="G2" s="1"/>
      <c r="H2" s="1"/>
      <c r="I2" s="1"/>
      <c r="J2" s="1"/>
    </row>
    <row r="3" spans="5:10">
      <c r="E3" s="1"/>
      <c r="F3" s="1"/>
      <c r="G3" s="1"/>
      <c r="H3" s="1"/>
      <c r="I3" s="1"/>
      <c r="J3" s="1"/>
    </row>
    <row r="4" spans="5:10">
      <c r="E4" s="1"/>
      <c r="F4" s="1"/>
      <c r="G4" s="1"/>
      <c r="H4" s="1"/>
      <c r="I4" s="1"/>
      <c r="J4" s="1"/>
    </row>
    <row r="5" spans="5:10">
      <c r="E5" s="1"/>
      <c r="F5" s="1"/>
      <c r="G5" s="1"/>
      <c r="H5" s="1"/>
      <c r="I5" s="1"/>
      <c r="J5" s="1"/>
    </row>
  </sheetData>
  <mergeCells count="1">
    <mergeCell ref="E2:J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CNC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京</cp:lastModifiedBy>
  <dcterms:created xsi:type="dcterms:W3CDTF">2016-12-24T02:00:00Z</dcterms:created>
  <cp:lastPrinted>2026-02-12T01:59:00Z</cp:lastPrinted>
  <dcterms:modified xsi:type="dcterms:W3CDTF">2026-04-13T01:17:04Z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KSOReadingLayout">
    <vt:bool>true</vt:bool>
  </property>
  <property fmtid="{D5CDD505-2E9C-101B-9397-08002B2CF9AE}" pid="4" name="ICV">
    <vt:lpwstr>72E4853B31824494B5AA46821CC0A76B_13</vt:lpwstr>
  </property>
</Properties>
</file>